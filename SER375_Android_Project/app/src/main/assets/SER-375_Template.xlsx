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244c11b43cd2d63/Desktop/"/>
    </mc:Choice>
  </mc:AlternateContent>
  <xr:revisionPtr revIDLastSave="569" documentId="13_ncr:1_{8B433B7B-B8CD-4AAD-B623-27DDAD552031}" xr6:coauthVersionLast="47" xr6:coauthVersionMax="47" xr10:uidLastSave="{68825164-4F5C-41DF-BA1D-B385D4C7301D}"/>
  <bookViews>
    <workbookView xWindow="-108" yWindow="-108" windowWidth="23256" windowHeight="12456" tabRatio="728" xr2:uid="{00000000-000D-0000-FFFF-FFFF00000000}"/>
  </bookViews>
  <sheets>
    <sheet name="1405.07.01" sheetId="228" r:id="rId1"/>
  </sheets>
  <definedNames>
    <definedName name="_xlnm._FilterDatabase" localSheetId="0" hidden="1">'1405.07.01'!#REF!</definedName>
    <definedName name="_xlnm._FilterDatabase" hidden="1">#REF!</definedName>
    <definedName name="_xlnm.Print_Area" localSheetId="0">'1405.07.01'!$A$1:$Z$41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9" i="228" l="1"/>
  <c r="U29" i="228"/>
  <c r="T29" i="228"/>
  <c r="R29" i="228"/>
  <c r="Q29" i="228"/>
  <c r="P29" i="228"/>
  <c r="N29" i="228"/>
  <c r="M29" i="228"/>
  <c r="L29" i="228"/>
  <c r="K29" i="228"/>
  <c r="E29" i="228"/>
  <c r="D29" i="228"/>
  <c r="C29" i="228"/>
  <c r="B29" i="228" a="1"/>
  <c r="B29" i="228" s="1"/>
</calcChain>
</file>

<file path=xl/sharedStrings.xml><?xml version="1.0" encoding="utf-8"?>
<sst xmlns="http://schemas.openxmlformats.org/spreadsheetml/2006/main" count="62" uniqueCount="62">
  <si>
    <t xml:space="preserve">   DAILY REPORT     </t>
  </si>
  <si>
    <t xml:space="preserve"> Drilling Project</t>
  </si>
  <si>
    <t xml:space="preserve">Client : </t>
  </si>
  <si>
    <t>N.I.C.I.CO</t>
  </si>
  <si>
    <t>X:</t>
  </si>
  <si>
    <t>SITE NAME:</t>
  </si>
  <si>
    <t>Consultant:</t>
  </si>
  <si>
    <t>Parsolang</t>
  </si>
  <si>
    <t>Y:</t>
  </si>
  <si>
    <t>BH. Code:</t>
  </si>
  <si>
    <t>Contractor:</t>
  </si>
  <si>
    <t>DORKAVOSH</t>
  </si>
  <si>
    <t>Z :</t>
  </si>
  <si>
    <t>BH. S.N:</t>
  </si>
  <si>
    <t>Drilling Method:</t>
  </si>
  <si>
    <t>Wireline</t>
  </si>
  <si>
    <t>Circulation fluid:</t>
  </si>
  <si>
    <t>Mud</t>
  </si>
  <si>
    <t>BH. Az:</t>
  </si>
  <si>
    <t>BH:DIP</t>
  </si>
  <si>
    <t>Rig model:</t>
  </si>
  <si>
    <t>Rig Code:</t>
  </si>
  <si>
    <t>DATE</t>
  </si>
  <si>
    <t>Run</t>
  </si>
  <si>
    <t>Depth(m)</t>
  </si>
  <si>
    <t>Time</t>
  </si>
  <si>
    <t>CR%</t>
  </si>
  <si>
    <t>RQD%</t>
  </si>
  <si>
    <t>Drilling rate</t>
  </si>
  <si>
    <t>Bit</t>
  </si>
  <si>
    <t>Hole Diam.</t>
  </si>
  <si>
    <t>Core Diam.</t>
  </si>
  <si>
    <t>Casing Size</t>
  </si>
  <si>
    <t>Water table</t>
  </si>
  <si>
    <t>Flush Return%</t>
  </si>
  <si>
    <t>Water Color</t>
  </si>
  <si>
    <t>Addetive</t>
  </si>
  <si>
    <t>Box No.</t>
  </si>
  <si>
    <t>Driller</t>
  </si>
  <si>
    <t>Technician</t>
  </si>
  <si>
    <t>YES   OR NO</t>
  </si>
  <si>
    <t>From</t>
  </si>
  <si>
    <t>To</t>
  </si>
  <si>
    <t xml:space="preserve">Start </t>
  </si>
  <si>
    <t>Finish</t>
  </si>
  <si>
    <t>L(cm)</t>
  </si>
  <si>
    <t>T(m)</t>
  </si>
  <si>
    <t>L/T</t>
  </si>
  <si>
    <t>Type</t>
  </si>
  <si>
    <t>Size</t>
  </si>
  <si>
    <t>DAY</t>
  </si>
  <si>
    <t>NQ</t>
  </si>
  <si>
    <t>NIGHT</t>
  </si>
  <si>
    <t>DAYOFF TIMES.</t>
  </si>
  <si>
    <t>NIGHTOFFTIMES</t>
  </si>
  <si>
    <t xml:space="preserve">Supervisor: </t>
  </si>
  <si>
    <t>contractor:</t>
  </si>
  <si>
    <t>client:</t>
  </si>
  <si>
    <t>Shift (DAY /NIGHT)</t>
  </si>
  <si>
    <t>HQ</t>
  </si>
  <si>
    <t>53/5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</si>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</sst>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Cambria"/>
      <family val="1"/>
    </font>
    <font>
      <b/>
      <sz val="18"/>
      <name val="Cambria"/>
      <family val="1"/>
    </font>
    <font>
      <b/>
      <sz val="16"/>
      <name val="Cambria"/>
      <family val="1"/>
    </font>
    <font>
      <b/>
      <sz val="14"/>
      <name val="Cambria"/>
      <family val="1"/>
    </font>
    <font>
      <sz val="16"/>
      <name val="Cambria"/>
      <family val="1"/>
    </font>
    <font>
      <sz val="11"/>
      <color indexed="8"/>
      <name val="Calibri"/>
      <family val="2"/>
      <charset val="178"/>
    </font>
    <font>
      <sz val="16"/>
      <name val="Arial"/>
      <family val="2"/>
    </font>
    <font>
      <b/>
      <sz val="10"/>
      <name val="Arial"/>
      <family val="2"/>
    </font>
    <font>
      <sz val="18"/>
      <color rgb="FFFF0000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sz val="14"/>
      <name val="Calibri"/>
      <family val="2"/>
      <scheme val="minor"/>
    </font>
    <font>
      <sz val="16"/>
      <color indexed="8"/>
      <name val="Cambria"/>
      <family val="1"/>
    </font>
    <font>
      <b/>
      <sz val="14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17">
    <xf numFmtId="0" fontId="0" fillId="0" borderId="0" xfId="0"/>
    <xf numFmtId="0" fontId="1" fillId="0" borderId="0" xfId="1" applyProtection="1">
      <protection locked="0"/>
    </xf>
    <xf numFmtId="2" fontId="1" fillId="0" borderId="0" xfId="1" applyNumberFormat="1" applyProtection="1">
      <protection locked="0"/>
    </xf>
    <xf numFmtId="0" fontId="9" fillId="0" borderId="0" xfId="1" applyFont="1" applyProtection="1">
      <protection locked="0"/>
    </xf>
    <xf numFmtId="0" fontId="1" fillId="0" borderId="0" xfId="1" applyAlignment="1" applyProtection="1">
      <alignment vertical="center"/>
      <protection locked="0"/>
    </xf>
    <xf numFmtId="0" fontId="4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" fontId="8" fillId="0" borderId="1" xfId="2" applyNumberFormat="1" applyFont="1" applyBorder="1" applyAlignment="1">
      <alignment horizontal="center" vertical="center"/>
    </xf>
    <xf numFmtId="4" fontId="8" fillId="0" borderId="1" xfId="2" applyNumberFormat="1" applyFont="1" applyBorder="1" applyAlignment="1" applyProtection="1">
      <alignment horizontal="center" vertical="center"/>
      <protection locked="0"/>
    </xf>
    <xf numFmtId="164" fontId="8" fillId="0" borderId="1" xfId="2" applyNumberFormat="1" applyFont="1" applyBorder="1" applyAlignment="1" applyProtection="1">
      <alignment horizontal="center" vertical="center"/>
      <protection locked="0"/>
    </xf>
    <xf numFmtId="1" fontId="8" fillId="0" borderId="1" xfId="2" applyNumberFormat="1" applyFont="1" applyBorder="1" applyAlignment="1" applyProtection="1">
      <alignment horizontal="center" vertical="center"/>
      <protection locked="0"/>
    </xf>
    <xf numFmtId="0" fontId="8" fillId="0" borderId="1" xfId="2" applyFont="1" applyBorder="1" applyAlignment="1">
      <alignment horizontal="center" vertical="center"/>
    </xf>
    <xf numFmtId="1" fontId="8" fillId="2" borderId="1" xfId="2" applyNumberFormat="1" applyFont="1" applyFill="1" applyBorder="1" applyAlignment="1">
      <alignment horizontal="center" vertical="center"/>
    </xf>
    <xf numFmtId="165" fontId="8" fillId="2" borderId="1" xfId="2" applyNumberFormat="1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1" applyFont="1" applyBorder="1" applyAlignment="1" applyProtection="1">
      <alignment horizontal="center" vertical="center" shrinkToFit="1"/>
      <protection locked="0"/>
    </xf>
    <xf numFmtId="9" fontId="8" fillId="0" borderId="1" xfId="2" applyNumberFormat="1" applyFont="1" applyBorder="1" applyAlignment="1" applyProtection="1">
      <alignment horizontal="center" vertical="center"/>
      <protection locked="0"/>
    </xf>
    <xf numFmtId="49" fontId="8" fillId="0" borderId="1" xfId="2" applyNumberFormat="1" applyFont="1" applyBorder="1" applyAlignment="1" applyProtection="1">
      <alignment horizontal="center" vertical="center"/>
      <protection locked="0"/>
    </xf>
    <xf numFmtId="0" fontId="4" fillId="0" borderId="3" xfId="1" applyFont="1" applyBorder="1" applyAlignment="1">
      <alignment horizontal="center" vertical="center"/>
    </xf>
    <xf numFmtId="0" fontId="8" fillId="0" borderId="3" xfId="1" applyFont="1" applyBorder="1" applyAlignment="1" applyProtection="1">
      <alignment horizontal="center" vertical="center" shrinkToFit="1"/>
      <protection locked="0"/>
    </xf>
    <xf numFmtId="2" fontId="4" fillId="4" borderId="2" xfId="1" applyNumberFormat="1" applyFont="1" applyFill="1" applyBorder="1" applyAlignment="1" applyProtection="1">
      <alignment horizontal="center" vertical="center"/>
      <protection locked="0"/>
    </xf>
    <xf numFmtId="49" fontId="8" fillId="0" borderId="14" xfId="1" applyNumberFormat="1" applyFont="1" applyBorder="1" applyAlignment="1" applyProtection="1">
      <alignment horizontal="center" vertical="center"/>
      <protection locked="0"/>
    </xf>
    <xf numFmtId="0" fontId="1" fillId="0" borderId="18" xfId="1" applyBorder="1" applyProtection="1">
      <protection locked="0"/>
    </xf>
    <xf numFmtId="0" fontId="2" fillId="3" borderId="1" xfId="1" applyFont="1" applyFill="1" applyBorder="1" applyAlignment="1" applyProtection="1">
      <alignment vertical="center" textRotation="90"/>
      <protection locked="0"/>
    </xf>
    <xf numFmtId="0" fontId="2" fillId="3" borderId="21" xfId="1" applyFont="1" applyFill="1" applyBorder="1" applyAlignment="1" applyProtection="1">
      <alignment vertical="center" textRotation="90"/>
      <protection locked="0"/>
    </xf>
    <xf numFmtId="0" fontId="10" fillId="0" borderId="18" xfId="1" applyFont="1" applyBorder="1" applyAlignment="1" applyProtection="1">
      <alignment horizontal="center" vertical="center"/>
      <protection locked="0"/>
    </xf>
    <xf numFmtId="0" fontId="11" fillId="0" borderId="3" xfId="1" applyFont="1" applyBorder="1" applyAlignment="1" applyProtection="1">
      <alignment horizontal="center" vertical="center" shrinkToFit="1"/>
      <protection locked="0"/>
    </xf>
    <xf numFmtId="164" fontId="12" fillId="0" borderId="3" xfId="2" applyNumberFormat="1" applyFont="1" applyBorder="1" applyAlignment="1" applyProtection="1">
      <alignment horizontal="center" vertical="center"/>
      <protection locked="0"/>
    </xf>
    <xf numFmtId="1" fontId="12" fillId="0" borderId="3" xfId="2" applyNumberFormat="1" applyFont="1" applyBorder="1" applyAlignment="1" applyProtection="1">
      <alignment horizontal="center" vertical="center"/>
      <protection locked="0"/>
    </xf>
    <xf numFmtId="0" fontId="12" fillId="0" borderId="3" xfId="2" applyFont="1" applyBorder="1" applyAlignment="1">
      <alignment horizontal="center" vertical="center"/>
    </xf>
    <xf numFmtId="1" fontId="12" fillId="2" borderId="3" xfId="2" applyNumberFormat="1" applyFont="1" applyFill="1" applyBorder="1" applyAlignment="1">
      <alignment horizontal="center" vertical="center"/>
    </xf>
    <xf numFmtId="165" fontId="12" fillId="2" borderId="3" xfId="2" applyNumberFormat="1" applyFont="1" applyFill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/>
    </xf>
    <xf numFmtId="9" fontId="12" fillId="0" borderId="3" xfId="0" applyNumberFormat="1" applyFont="1" applyBorder="1" applyAlignment="1" applyProtection="1">
      <alignment horizontal="center" vertical="center"/>
      <protection locked="0"/>
    </xf>
    <xf numFmtId="9" fontId="12" fillId="0" borderId="3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 applyProtection="1">
      <alignment horizontal="center" vertical="center"/>
      <protection locked="0"/>
    </xf>
    <xf numFmtId="49" fontId="12" fillId="0" borderId="11" xfId="1" applyNumberFormat="1" applyFont="1" applyBorder="1" applyAlignment="1" applyProtection="1">
      <alignment horizontal="center" vertical="center"/>
      <protection locked="0"/>
    </xf>
    <xf numFmtId="20" fontId="12" fillId="0" borderId="1" xfId="1" applyNumberFormat="1" applyFont="1" applyBorder="1" applyAlignment="1" applyProtection="1">
      <alignment horizontal="center" vertical="center"/>
      <protection locked="0"/>
    </xf>
    <xf numFmtId="1" fontId="12" fillId="0" borderId="1" xfId="2" applyNumberFormat="1" applyFont="1" applyBorder="1" applyAlignment="1" applyProtection="1">
      <alignment horizontal="center" vertical="center"/>
      <protection locked="0"/>
    </xf>
    <xf numFmtId="0" fontId="12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1" applyFont="1" applyBorder="1" applyAlignment="1" applyProtection="1">
      <alignment horizontal="center" vertical="center"/>
      <protection locked="0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49" fontId="12" fillId="0" borderId="14" xfId="1" applyNumberFormat="1" applyFont="1" applyBorder="1" applyAlignment="1" applyProtection="1">
      <alignment horizontal="center" vertical="center"/>
      <protection locked="0"/>
    </xf>
    <xf numFmtId="9" fontId="12" fillId="0" borderId="1" xfId="0" applyNumberFormat="1" applyFont="1" applyBorder="1" applyAlignment="1" applyProtection="1">
      <alignment horizontal="center" vertical="center"/>
      <protection locked="0"/>
    </xf>
    <xf numFmtId="164" fontId="12" fillId="0" borderId="1" xfId="2" applyNumberFormat="1" applyFont="1" applyBorder="1" applyAlignment="1" applyProtection="1">
      <alignment horizontal="center" vertical="center"/>
      <protection locked="0"/>
    </xf>
    <xf numFmtId="49" fontId="12" fillId="0" borderId="8" xfId="1" applyNumberFormat="1" applyFont="1" applyBorder="1" applyAlignment="1" applyProtection="1">
      <alignment horizontal="center" vertical="center"/>
      <protection locked="0"/>
    </xf>
    <xf numFmtId="0" fontId="4" fillId="4" borderId="2" xfId="1" applyFont="1" applyFill="1" applyBorder="1" applyAlignment="1" applyProtection="1">
      <alignment horizontal="center" vertical="center"/>
      <protection locked="0"/>
    </xf>
    <xf numFmtId="0" fontId="4" fillId="4" borderId="4" xfId="1" applyFont="1" applyFill="1" applyBorder="1" applyAlignment="1" applyProtection="1">
      <alignment horizontal="left" vertical="center"/>
      <protection locked="0"/>
    </xf>
    <xf numFmtId="0" fontId="6" fillId="4" borderId="4" xfId="1" applyFont="1" applyFill="1" applyBorder="1" applyAlignment="1" applyProtection="1">
      <alignment horizontal="left" vertical="center"/>
      <protection locked="0"/>
    </xf>
    <xf numFmtId="0" fontId="6" fillId="4" borderId="4" xfId="1" applyFont="1" applyFill="1" applyBorder="1" applyAlignment="1" applyProtection="1">
      <alignment horizontal="center" vertical="center"/>
      <protection locked="0"/>
    </xf>
    <xf numFmtId="0" fontId="6" fillId="4" borderId="4" xfId="1" applyFont="1" applyFill="1" applyBorder="1" applyAlignment="1" applyProtection="1">
      <alignment vertical="center"/>
      <protection locked="0"/>
    </xf>
    <xf numFmtId="49" fontId="12" fillId="0" borderId="3" xfId="2" applyNumberFormat="1" applyFont="1" applyBorder="1" applyAlignment="1">
      <alignment horizontal="center" vertical="center"/>
    </xf>
    <xf numFmtId="49" fontId="12" fillId="0" borderId="3" xfId="2" applyNumberFormat="1" applyFont="1" applyBorder="1" applyAlignment="1" applyProtection="1">
      <alignment horizontal="center" vertical="center"/>
      <protection locked="0"/>
    </xf>
    <xf numFmtId="49" fontId="12" fillId="0" borderId="1" xfId="2" applyNumberFormat="1" applyFont="1" applyBorder="1" applyAlignment="1">
      <alignment horizontal="center" vertical="center"/>
    </xf>
    <xf numFmtId="49" fontId="12" fillId="0" borderId="1" xfId="1" applyNumberFormat="1" applyFont="1" applyBorder="1" applyAlignment="1" applyProtection="1">
      <alignment horizontal="center" vertical="center"/>
      <protection locked="0"/>
    </xf>
    <xf numFmtId="49" fontId="12" fillId="0" borderId="1" xfId="2" applyNumberFormat="1" applyFont="1" applyBorder="1" applyAlignment="1" applyProtection="1">
      <alignment horizontal="center" vertical="center"/>
      <protection locked="0"/>
    </xf>
    <xf numFmtId="2" fontId="15" fillId="0" borderId="3" xfId="0" applyNumberFormat="1" applyFont="1" applyBorder="1" applyAlignment="1">
      <alignment horizontal="center" vertical="center"/>
    </xf>
    <xf numFmtId="0" fontId="4" fillId="4" borderId="19" xfId="1" applyFont="1" applyFill="1" applyBorder="1" applyAlignment="1" applyProtection="1">
      <alignment horizontal="center" vertical="center"/>
      <protection locked="0"/>
    </xf>
    <xf numFmtId="0" fontId="13" fillId="0" borderId="1" xfId="1" applyFont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2" fillId="0" borderId="16" xfId="1" applyFont="1" applyBorder="1" applyAlignment="1" applyProtection="1">
      <alignment horizontal="center" vertical="center" textRotation="90"/>
      <protection locked="0"/>
    </xf>
    <xf numFmtId="0" fontId="2" fillId="0" borderId="17" xfId="1" applyFont="1" applyBorder="1" applyAlignment="1" applyProtection="1">
      <alignment horizontal="center" vertical="center" textRotation="90"/>
      <protection locked="0"/>
    </xf>
    <xf numFmtId="0" fontId="2" fillId="0" borderId="3" xfId="1" applyFont="1" applyBorder="1" applyAlignment="1" applyProtection="1">
      <alignment horizontal="center" vertical="center" textRotation="90"/>
      <protection locked="0"/>
    </xf>
    <xf numFmtId="0" fontId="3" fillId="0" borderId="8" xfId="1" applyFont="1" applyBorder="1" applyAlignment="1" applyProtection="1">
      <alignment horizontal="center" vertical="center"/>
      <protection locked="0"/>
    </xf>
    <xf numFmtId="0" fontId="3" fillId="0" borderId="9" xfId="1" applyFont="1" applyBorder="1" applyAlignment="1" applyProtection="1">
      <alignment horizontal="center" vertical="center"/>
      <protection locked="0"/>
    </xf>
    <xf numFmtId="0" fontId="3" fillId="0" borderId="10" xfId="1" applyFont="1" applyBorder="1" applyAlignment="1" applyProtection="1">
      <alignment horizontal="center" vertical="center"/>
      <protection locked="0"/>
    </xf>
    <xf numFmtId="0" fontId="3" fillId="0" borderId="11" xfId="1" applyFont="1" applyBorder="1" applyAlignment="1" applyProtection="1">
      <alignment horizontal="center" vertical="center"/>
      <protection locked="0"/>
    </xf>
    <xf numFmtId="0" fontId="3" fillId="0" borderId="12" xfId="1" applyFont="1" applyBorder="1" applyAlignment="1" applyProtection="1">
      <alignment horizontal="center" vertical="center"/>
      <protection locked="0"/>
    </xf>
    <xf numFmtId="0" fontId="3" fillId="0" borderId="13" xfId="1" applyFont="1" applyBorder="1" applyAlignment="1" applyProtection="1">
      <alignment horizontal="center" vertical="center"/>
      <protection locked="0"/>
    </xf>
    <xf numFmtId="20" fontId="2" fillId="0" borderId="8" xfId="1" applyNumberFormat="1" applyFont="1" applyBorder="1" applyAlignment="1" applyProtection="1">
      <alignment horizontal="center" vertical="center" wrapText="1" readingOrder="2"/>
      <protection locked="0"/>
    </xf>
    <xf numFmtId="20" fontId="2" fillId="0" borderId="9" xfId="1" applyNumberFormat="1" applyFont="1" applyBorder="1" applyAlignment="1" applyProtection="1">
      <alignment horizontal="center" vertical="center" wrapText="1" readingOrder="2"/>
      <protection locked="0"/>
    </xf>
    <xf numFmtId="20" fontId="2" fillId="0" borderId="10" xfId="1" applyNumberFormat="1" applyFont="1" applyBorder="1" applyAlignment="1" applyProtection="1">
      <alignment horizontal="center" vertical="center" wrapText="1" readingOrder="2"/>
      <protection locked="0"/>
    </xf>
    <xf numFmtId="20" fontId="2" fillId="0" borderId="11" xfId="1" applyNumberFormat="1" applyFont="1" applyBorder="1" applyAlignment="1" applyProtection="1">
      <alignment horizontal="center" vertical="center" wrapText="1" readingOrder="2"/>
      <protection locked="0"/>
    </xf>
    <xf numFmtId="20" fontId="2" fillId="0" borderId="12" xfId="1" applyNumberFormat="1" applyFont="1" applyBorder="1" applyAlignment="1" applyProtection="1">
      <alignment horizontal="center" vertical="center" wrapText="1" readingOrder="2"/>
      <protection locked="0"/>
    </xf>
    <xf numFmtId="20" fontId="2" fillId="0" borderId="13" xfId="1" applyNumberFormat="1" applyFont="1" applyBorder="1" applyAlignment="1" applyProtection="1">
      <alignment horizontal="center" vertical="center" wrapText="1" readingOrder="2"/>
      <protection locked="0"/>
    </xf>
    <xf numFmtId="0" fontId="2" fillId="0" borderId="8" xfId="1" applyFont="1" applyBorder="1" applyAlignment="1" applyProtection="1">
      <alignment horizontal="center" vertical="center" wrapText="1" readingOrder="2"/>
      <protection locked="0"/>
    </xf>
    <xf numFmtId="0" fontId="2" fillId="0" borderId="9" xfId="1" applyFont="1" applyBorder="1" applyAlignment="1" applyProtection="1">
      <alignment horizontal="center" vertical="center" wrapText="1" readingOrder="2"/>
      <protection locked="0"/>
    </xf>
    <xf numFmtId="0" fontId="2" fillId="0" borderId="10" xfId="1" applyFont="1" applyBorder="1" applyAlignment="1" applyProtection="1">
      <alignment horizontal="center" vertical="center" wrapText="1" readingOrder="2"/>
      <protection locked="0"/>
    </xf>
    <xf numFmtId="0" fontId="2" fillId="0" borderId="11" xfId="1" applyFont="1" applyBorder="1" applyAlignment="1" applyProtection="1">
      <alignment horizontal="center" vertical="center" wrapText="1" readingOrder="2"/>
      <protection locked="0"/>
    </xf>
    <xf numFmtId="0" fontId="2" fillId="0" borderId="12" xfId="1" applyFont="1" applyBorder="1" applyAlignment="1" applyProtection="1">
      <alignment horizontal="center" vertical="center" wrapText="1" readingOrder="2"/>
      <protection locked="0"/>
    </xf>
    <xf numFmtId="0" fontId="2" fillId="0" borderId="13" xfId="1" applyFont="1" applyBorder="1" applyAlignment="1" applyProtection="1">
      <alignment horizontal="center" vertical="center" wrapText="1" readingOrder="2"/>
      <protection locked="0"/>
    </xf>
    <xf numFmtId="20" fontId="2" fillId="0" borderId="1" xfId="1" applyNumberFormat="1" applyFont="1" applyBorder="1" applyAlignment="1" applyProtection="1">
      <alignment horizontal="left" vertical="center"/>
      <protection locked="0"/>
    </xf>
    <xf numFmtId="0" fontId="2" fillId="0" borderId="1" xfId="1" applyFont="1" applyBorder="1" applyAlignment="1" applyProtection="1">
      <alignment horizontal="left" vertical="center"/>
      <protection locked="0"/>
    </xf>
    <xf numFmtId="0" fontId="4" fillId="4" borderId="4" xfId="1" applyFont="1" applyFill="1" applyBorder="1" applyAlignment="1" applyProtection="1">
      <alignment horizontal="center" vertical="center" wrapText="1"/>
      <protection locked="0"/>
    </xf>
    <xf numFmtId="0" fontId="4" fillId="4" borderId="2" xfId="1" applyFont="1" applyFill="1" applyBorder="1" applyAlignment="1" applyProtection="1">
      <alignment horizontal="center" vertical="center" wrapText="1"/>
      <protection locked="0"/>
    </xf>
    <xf numFmtId="0" fontId="4" fillId="4" borderId="19" xfId="1" applyFont="1" applyFill="1" applyBorder="1" applyAlignment="1" applyProtection="1">
      <alignment horizontal="center" vertical="center" wrapText="1"/>
      <protection locked="0"/>
    </xf>
    <xf numFmtId="0" fontId="4" fillId="4" borderId="20" xfId="1" applyFont="1" applyFill="1" applyBorder="1" applyAlignment="1" applyProtection="1">
      <alignment horizontal="center" vertical="center" wrapText="1"/>
      <protection locked="0"/>
    </xf>
    <xf numFmtId="0" fontId="2" fillId="0" borderId="22" xfId="1" applyFont="1" applyBorder="1" applyAlignment="1" applyProtection="1">
      <alignment horizontal="center" vertical="center" textRotation="90"/>
      <protection locked="0"/>
    </xf>
    <xf numFmtId="0" fontId="2" fillId="3" borderId="14" xfId="1" applyFont="1" applyFill="1" applyBorder="1" applyAlignment="1" applyProtection="1">
      <alignment horizontal="center" vertical="center" textRotation="90"/>
      <protection locked="0"/>
    </xf>
    <xf numFmtId="0" fontId="2" fillId="3" borderId="15" xfId="1" applyFont="1" applyFill="1" applyBorder="1" applyAlignment="1" applyProtection="1">
      <alignment horizontal="center" vertical="center" textRotation="90"/>
      <protection locked="0"/>
    </xf>
    <xf numFmtId="0" fontId="2" fillId="3" borderId="21" xfId="1" applyFont="1" applyFill="1" applyBorder="1" applyAlignment="1" applyProtection="1">
      <alignment horizontal="center" vertical="center" textRotation="90"/>
      <protection locked="0"/>
    </xf>
    <xf numFmtId="0" fontId="4" fillId="4" borderId="4" xfId="1" applyFont="1" applyFill="1" applyBorder="1" applyAlignment="1" applyProtection="1">
      <alignment horizontal="center" vertical="center" textRotation="67"/>
      <protection locked="0"/>
    </xf>
    <xf numFmtId="0" fontId="4" fillId="4" borderId="2" xfId="1" applyFont="1" applyFill="1" applyBorder="1" applyAlignment="1" applyProtection="1">
      <alignment horizontal="center" vertical="center" textRotation="67"/>
      <protection locked="0"/>
    </xf>
    <xf numFmtId="0" fontId="4" fillId="4" borderId="4" xfId="1" applyFont="1" applyFill="1" applyBorder="1" applyAlignment="1" applyProtection="1">
      <alignment horizontal="center" vertical="center"/>
      <protection locked="0"/>
    </xf>
    <xf numFmtId="0" fontId="4" fillId="4" borderId="6" xfId="1" applyFont="1" applyFill="1" applyBorder="1" applyAlignment="1" applyProtection="1">
      <alignment horizontal="center" vertical="center" textRotation="90"/>
      <protection locked="0"/>
    </xf>
    <xf numFmtId="0" fontId="4" fillId="4" borderId="5" xfId="1" applyFont="1" applyFill="1" applyBorder="1" applyAlignment="1" applyProtection="1">
      <alignment horizontal="center" vertical="center" textRotation="90"/>
      <protection locked="0"/>
    </xf>
    <xf numFmtId="0" fontId="4" fillId="4" borderId="2" xfId="1" applyFont="1" applyFill="1" applyBorder="1" applyAlignment="1" applyProtection="1">
      <alignment horizontal="center" vertical="center"/>
      <protection locked="0"/>
    </xf>
    <xf numFmtId="0" fontId="2" fillId="3" borderId="7" xfId="1" applyFont="1" applyFill="1" applyBorder="1" applyAlignment="1" applyProtection="1">
      <alignment horizontal="center" vertical="center" textRotation="90"/>
      <protection locked="0"/>
    </xf>
    <xf numFmtId="0" fontId="2" fillId="3" borderId="0" xfId="1" applyFont="1" applyFill="1" applyAlignment="1" applyProtection="1">
      <alignment horizontal="center" vertical="center" textRotation="90"/>
      <protection locked="0"/>
    </xf>
    <xf numFmtId="0" fontId="4" fillId="4" borderId="4" xfId="1" applyFont="1" applyFill="1" applyBorder="1" applyAlignment="1" applyProtection="1">
      <alignment horizontal="center" vertical="center" textRotation="70" wrapText="1"/>
      <protection locked="0"/>
    </xf>
    <xf numFmtId="0" fontId="4" fillId="4" borderId="2" xfId="1" applyFont="1" applyFill="1" applyBorder="1" applyAlignment="1" applyProtection="1">
      <alignment horizontal="center" vertical="center" textRotation="70" wrapText="1"/>
      <protection locked="0"/>
    </xf>
    <xf numFmtId="0" fontId="6" fillId="4" borderId="4" xfId="1" applyFont="1" applyFill="1" applyBorder="1" applyAlignment="1" applyProtection="1">
      <alignment horizontal="center" vertical="center"/>
      <protection locked="0"/>
    </xf>
    <xf numFmtId="0" fontId="14" fillId="4" borderId="4" xfId="1" applyFont="1" applyFill="1" applyBorder="1" applyAlignment="1" applyProtection="1">
      <alignment horizontal="center" vertical="center"/>
      <protection locked="0"/>
    </xf>
    <xf numFmtId="0" fontId="5" fillId="4" borderId="4" xfId="1" applyFont="1" applyFill="1" applyBorder="1" applyAlignment="1" applyProtection="1">
      <alignment horizontal="center" vertical="center" wrapText="1"/>
      <protection locked="0"/>
    </xf>
    <xf numFmtId="0" fontId="5" fillId="4" borderId="2" xfId="1" applyFont="1" applyFill="1" applyBorder="1" applyAlignment="1" applyProtection="1">
      <alignment horizontal="center" vertical="center" wrapText="1"/>
      <protection locked="0"/>
    </xf>
    <xf numFmtId="2" fontId="4" fillId="4" borderId="4" xfId="1" applyNumberFormat="1" applyFont="1" applyFill="1" applyBorder="1" applyAlignment="1" applyProtection="1">
      <alignment horizontal="center" vertical="center"/>
      <protection locked="0"/>
    </xf>
    <xf numFmtId="0" fontId="4" fillId="4" borderId="4" xfId="1" applyFont="1" applyFill="1" applyBorder="1" applyAlignment="1" applyProtection="1">
      <alignment horizontal="left" vertical="center"/>
      <protection locked="0"/>
    </xf>
    <xf numFmtId="0" fontId="4" fillId="4" borderId="6" xfId="1" applyFont="1" applyFill="1" applyBorder="1" applyAlignment="1" applyProtection="1">
      <alignment horizontal="left" vertical="center"/>
      <protection locked="0"/>
    </xf>
    <xf numFmtId="0" fontId="6" fillId="4" borderId="4" xfId="1" applyFont="1" applyFill="1" applyBorder="1" applyAlignment="1" applyProtection="1">
      <alignment horizontal="left" vertical="center"/>
      <protection locked="0"/>
    </xf>
    <xf numFmtId="0" fontId="4" fillId="4" borderId="6" xfId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2004-8005-4030-BC4D-083A6AE3412F}">
  <sheetPr codeName="Sheet40">
    <tabColor theme="9" tint="0.79998168889431442"/>
    <pageSetUpPr fitToPage="1"/>
  </sheetPr>
  <dimension ref="A1:AN41"/>
  <sheetViews>
    <sheetView tabSelected="1" view="pageBreakPreview" topLeftCell="A13" zoomScale="55" zoomScaleNormal="55" zoomScaleSheetLayoutView="55" workbookViewId="0">
      <selection activeCell="E26" sqref="E26"/>
    </sheetView>
  </sheetViews>
  <sheetFormatPr defaultColWidth="9.109375" defaultRowHeight="13.2" x14ac:dyDescent="0.25"/>
  <cols>
    <col min="1" max="1" width="5.88671875" style="1" customWidth="1"/>
    <col min="2" max="2" width="20.77734375" style="1" customWidth="1"/>
    <col min="3" max="3" width="13" style="1" customWidth="1"/>
    <col min="4" max="4" width="8.33203125" style="2" customWidth="1"/>
    <col min="5" max="5" width="14.77734375" style="2" customWidth="1"/>
    <col min="6" max="6" width="15.33203125" style="1" customWidth="1"/>
    <col min="7" max="8" width="12.77734375" style="1" customWidth="1"/>
    <col min="9" max="10" width="10.109375" style="1" customWidth="1"/>
    <col min="11" max="11" width="9.88671875" style="1" customWidth="1"/>
    <col min="12" max="12" width="9.109375" style="2" customWidth="1"/>
    <col min="13" max="14" width="7.6640625" style="1" customWidth="1"/>
    <col min="15" max="17" width="10.109375" style="1" customWidth="1"/>
    <col min="18" max="18" width="37.6640625" style="1" customWidth="1"/>
    <col min="19" max="19" width="11.77734375" style="1" customWidth="1"/>
    <col min="20" max="20" width="11.109375" style="1" customWidth="1"/>
    <col min="21" max="21" width="10.88671875" style="1" customWidth="1"/>
    <col min="22" max="22" width="13" style="1" customWidth="1"/>
    <col min="23" max="23" width="15.6640625" style="1" customWidth="1"/>
    <col min="24" max="24" width="19.6640625" style="1" customWidth="1"/>
    <col min="25" max="25" width="23.88671875" style="1" bestFit="1" customWidth="1"/>
    <col min="26" max="26" width="13.109375" style="1" customWidth="1"/>
    <col min="27" max="27" width="9.109375" style="25"/>
    <col min="28" max="16384" width="9.109375" style="1"/>
  </cols>
  <sheetData>
    <row r="1" spans="1:27" ht="27" customHeight="1" thickBot="1" x14ac:dyDescent="0.3">
      <c r="A1" s="116" t="s">
        <v>0</v>
      </c>
      <c r="B1" s="100"/>
      <c r="C1" s="100"/>
      <c r="D1" s="100"/>
      <c r="E1" s="100"/>
      <c r="F1" s="100"/>
      <c r="G1" s="100"/>
      <c r="H1" s="100" t="s">
        <v>1</v>
      </c>
      <c r="I1" s="100"/>
      <c r="J1" s="100"/>
      <c r="K1" s="100"/>
      <c r="L1" s="100"/>
      <c r="M1" s="100"/>
      <c r="N1" s="100"/>
      <c r="O1" s="54" t="s">
        <v>2</v>
      </c>
      <c r="P1" s="54"/>
      <c r="Q1" s="109" t="s">
        <v>3</v>
      </c>
      <c r="R1" s="109"/>
      <c r="S1" s="109"/>
      <c r="T1" s="56" t="s">
        <v>4</v>
      </c>
      <c r="U1" s="108"/>
      <c r="V1" s="108"/>
      <c r="W1" s="108"/>
      <c r="X1" s="57" t="s">
        <v>5</v>
      </c>
      <c r="Y1" s="108"/>
      <c r="Z1" s="108"/>
      <c r="AA1" s="28">
        <v>5</v>
      </c>
    </row>
    <row r="2" spans="1:27" ht="27" customHeight="1" thickBot="1" x14ac:dyDescent="0.3">
      <c r="A2" s="116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54" t="s">
        <v>6</v>
      </c>
      <c r="P2" s="54"/>
      <c r="Q2" s="109" t="s">
        <v>7</v>
      </c>
      <c r="R2" s="109"/>
      <c r="S2" s="109"/>
      <c r="T2" s="56" t="s">
        <v>8</v>
      </c>
      <c r="U2" s="108"/>
      <c r="V2" s="108"/>
      <c r="W2" s="108"/>
      <c r="X2" s="57" t="s">
        <v>9</v>
      </c>
      <c r="Y2" s="108"/>
      <c r="Z2" s="108"/>
    </row>
    <row r="3" spans="1:27" ht="27" customHeight="1" thickBot="1" x14ac:dyDescent="0.3">
      <c r="A3" s="116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13" t="s">
        <v>10</v>
      </c>
      <c r="P3" s="113"/>
      <c r="Q3" s="108" t="s">
        <v>11</v>
      </c>
      <c r="R3" s="108"/>
      <c r="S3" s="108"/>
      <c r="T3" s="56" t="s">
        <v>12</v>
      </c>
      <c r="U3" s="108"/>
      <c r="V3" s="108"/>
      <c r="W3" s="108"/>
      <c r="X3" s="55" t="s">
        <v>13</v>
      </c>
      <c r="Y3" s="108"/>
      <c r="Z3" s="108"/>
    </row>
    <row r="4" spans="1:27" ht="33.75" customHeight="1" thickBot="1" x14ac:dyDescent="0.3">
      <c r="A4" s="114" t="s">
        <v>14</v>
      </c>
      <c r="B4" s="113"/>
      <c r="C4" s="113"/>
      <c r="D4" s="113" t="s">
        <v>15</v>
      </c>
      <c r="E4" s="113"/>
      <c r="F4" s="113"/>
      <c r="G4" s="113"/>
      <c r="H4" s="113"/>
      <c r="I4" s="113" t="s">
        <v>16</v>
      </c>
      <c r="J4" s="113"/>
      <c r="K4" s="113"/>
      <c r="L4" s="113" t="s">
        <v>17</v>
      </c>
      <c r="M4" s="113"/>
      <c r="N4" s="113"/>
      <c r="O4" s="113" t="s">
        <v>18</v>
      </c>
      <c r="P4" s="113"/>
      <c r="Q4" s="108" t="s">
        <v>61</v>
      </c>
      <c r="R4" s="108"/>
      <c r="S4" s="115" t="s">
        <v>19</v>
      </c>
      <c r="T4" s="115"/>
      <c r="U4" s="55">
        <v>90</v>
      </c>
      <c r="V4" s="115" t="s">
        <v>20</v>
      </c>
      <c r="W4" s="115"/>
      <c r="X4" s="55"/>
      <c r="Y4" s="57" t="s">
        <v>21</v>
      </c>
      <c r="Z4" s="64"/>
    </row>
    <row r="5" spans="1:27" ht="37.5" customHeight="1" thickBot="1" x14ac:dyDescent="0.3">
      <c r="A5" s="101"/>
      <c r="B5" s="100" t="s">
        <v>22</v>
      </c>
      <c r="C5" s="110" t="s">
        <v>58</v>
      </c>
      <c r="D5" s="100" t="s">
        <v>23</v>
      </c>
      <c r="E5" s="112" t="s">
        <v>24</v>
      </c>
      <c r="F5" s="112"/>
      <c r="G5" s="100" t="s">
        <v>25</v>
      </c>
      <c r="H5" s="100"/>
      <c r="I5" s="98" t="s">
        <v>26</v>
      </c>
      <c r="J5" s="98" t="s">
        <v>27</v>
      </c>
      <c r="K5" s="100" t="s">
        <v>28</v>
      </c>
      <c r="L5" s="100"/>
      <c r="M5" s="100"/>
      <c r="N5" s="100" t="s">
        <v>29</v>
      </c>
      <c r="O5" s="100"/>
      <c r="P5" s="90" t="s">
        <v>30</v>
      </c>
      <c r="Q5" s="90" t="s">
        <v>31</v>
      </c>
      <c r="R5" s="106" t="s">
        <v>32</v>
      </c>
      <c r="S5" s="90" t="s">
        <v>33</v>
      </c>
      <c r="T5" s="90" t="s">
        <v>34</v>
      </c>
      <c r="U5" s="90" t="s">
        <v>35</v>
      </c>
      <c r="V5" s="90" t="s">
        <v>36</v>
      </c>
      <c r="W5" s="90" t="s">
        <v>37</v>
      </c>
      <c r="X5" s="90" t="s">
        <v>38</v>
      </c>
      <c r="Y5" s="90" t="s">
        <v>39</v>
      </c>
      <c r="Z5" s="92" t="s">
        <v>40</v>
      </c>
    </row>
    <row r="6" spans="1:27" ht="32.25" customHeight="1" thickBot="1" x14ac:dyDescent="0.3">
      <c r="A6" s="102"/>
      <c r="B6" s="103"/>
      <c r="C6" s="111"/>
      <c r="D6" s="103"/>
      <c r="E6" s="23" t="s">
        <v>41</v>
      </c>
      <c r="F6" s="23" t="s">
        <v>42</v>
      </c>
      <c r="G6" s="53" t="s">
        <v>43</v>
      </c>
      <c r="H6" s="53" t="s">
        <v>44</v>
      </c>
      <c r="I6" s="99"/>
      <c r="J6" s="99"/>
      <c r="K6" s="53" t="s">
        <v>45</v>
      </c>
      <c r="L6" s="53" t="s">
        <v>46</v>
      </c>
      <c r="M6" s="23" t="s">
        <v>47</v>
      </c>
      <c r="N6" s="53" t="s">
        <v>48</v>
      </c>
      <c r="O6" s="53" t="s">
        <v>49</v>
      </c>
      <c r="P6" s="91"/>
      <c r="Q6" s="91"/>
      <c r="R6" s="107"/>
      <c r="S6" s="91"/>
      <c r="T6" s="91"/>
      <c r="U6" s="91"/>
      <c r="V6" s="91"/>
      <c r="W6" s="91"/>
      <c r="X6" s="91"/>
      <c r="Y6" s="91"/>
      <c r="Z6" s="93"/>
    </row>
    <row r="7" spans="1:27" ht="39" customHeight="1" thickTop="1" x14ac:dyDescent="0.25">
      <c r="A7" s="94" t="s">
        <v>50</v>
      </c>
      <c r="B7" s="21"/>
      <c r="C7" s="21"/>
      <c r="D7" s="21"/>
      <c r="E7" s="58"/>
      <c r="F7" s="59"/>
      <c r="G7" s="30"/>
      <c r="H7" s="30"/>
      <c r="I7" s="31"/>
      <c r="J7" s="31"/>
      <c r="K7" s="32"/>
      <c r="L7" s="33"/>
      <c r="M7" s="34"/>
      <c r="N7" s="32"/>
      <c r="O7" s="35"/>
      <c r="P7" s="36"/>
      <c r="Q7" s="36"/>
      <c r="R7" s="63"/>
      <c r="S7" s="38"/>
      <c r="T7" s="39"/>
      <c r="U7" s="36"/>
      <c r="V7" s="36"/>
      <c r="W7" s="40"/>
      <c r="X7" s="29"/>
      <c r="Y7" s="22"/>
      <c r="Z7" s="41"/>
    </row>
    <row r="8" spans="1:27" ht="39" customHeight="1" x14ac:dyDescent="0.25">
      <c r="A8" s="68"/>
      <c r="B8" s="5"/>
      <c r="C8" s="5"/>
      <c r="D8" s="5"/>
      <c r="E8" s="60"/>
      <c r="F8" s="61"/>
      <c r="G8" s="42"/>
      <c r="H8" s="42"/>
      <c r="I8" s="43"/>
      <c r="J8" s="31"/>
      <c r="K8" s="32"/>
      <c r="L8" s="33"/>
      <c r="M8" s="34"/>
      <c r="N8" s="44"/>
      <c r="O8" s="35"/>
      <c r="P8" s="45"/>
      <c r="Q8" s="45"/>
      <c r="R8" s="63"/>
      <c r="S8" s="47"/>
      <c r="T8" s="39"/>
      <c r="U8" s="45"/>
      <c r="V8" s="45"/>
      <c r="W8" s="48"/>
      <c r="X8" s="29"/>
      <c r="Y8" s="22"/>
      <c r="Z8" s="49"/>
    </row>
    <row r="9" spans="1:27" ht="39" customHeight="1" x14ac:dyDescent="0.25">
      <c r="A9" s="68"/>
      <c r="B9" s="5"/>
      <c r="C9" s="5"/>
      <c r="D9" s="5"/>
      <c r="E9" s="58"/>
      <c r="F9" s="59"/>
      <c r="G9" s="42"/>
      <c r="H9" s="42"/>
      <c r="I9" s="43"/>
      <c r="J9" s="31"/>
      <c r="K9" s="32"/>
      <c r="L9" s="33"/>
      <c r="M9" s="34"/>
      <c r="N9" s="44"/>
      <c r="O9" s="35"/>
      <c r="P9" s="45"/>
      <c r="Q9" s="45"/>
      <c r="R9" s="63"/>
      <c r="S9" s="50"/>
      <c r="T9" s="39"/>
      <c r="U9" s="45"/>
      <c r="V9" s="45"/>
      <c r="W9" s="48"/>
      <c r="X9" s="29"/>
      <c r="Y9" s="22"/>
      <c r="Z9" s="49"/>
    </row>
    <row r="10" spans="1:27" ht="39" customHeight="1" x14ac:dyDescent="0.25">
      <c r="A10" s="68"/>
      <c r="B10" s="5"/>
      <c r="C10" s="5"/>
      <c r="D10" s="5"/>
      <c r="E10" s="60"/>
      <c r="F10" s="61"/>
      <c r="G10" s="42"/>
      <c r="H10" s="42"/>
      <c r="I10" s="43"/>
      <c r="J10" s="31"/>
      <c r="K10" s="32"/>
      <c r="L10" s="33"/>
      <c r="M10" s="34"/>
      <c r="N10" s="44"/>
      <c r="O10" s="35"/>
      <c r="P10" s="45"/>
      <c r="Q10" s="45"/>
      <c r="R10" s="63"/>
      <c r="S10" s="50"/>
      <c r="T10" s="39"/>
      <c r="U10" s="45"/>
      <c r="V10" s="45"/>
      <c r="W10" s="48"/>
      <c r="X10" s="29"/>
      <c r="Y10" s="22"/>
      <c r="Z10" s="49"/>
    </row>
    <row r="11" spans="1:27" ht="39" customHeight="1" x14ac:dyDescent="0.25">
      <c r="A11" s="68"/>
      <c r="B11" s="5"/>
      <c r="C11" s="5"/>
      <c r="D11" s="5"/>
      <c r="E11" s="58"/>
      <c r="F11" s="59"/>
      <c r="G11" s="42"/>
      <c r="H11" s="42"/>
      <c r="I11" s="43"/>
      <c r="J11" s="31"/>
      <c r="K11" s="32"/>
      <c r="L11" s="33"/>
      <c r="M11" s="34"/>
      <c r="N11" s="44"/>
      <c r="O11" s="35"/>
      <c r="P11" s="45"/>
      <c r="Q11" s="45"/>
      <c r="R11" s="63"/>
      <c r="S11" s="50"/>
      <c r="T11" s="39"/>
      <c r="U11" s="45"/>
      <c r="V11" s="45"/>
      <c r="W11" s="48"/>
      <c r="X11" s="29"/>
      <c r="Y11" s="22"/>
      <c r="Z11" s="49"/>
    </row>
    <row r="12" spans="1:27" ht="39" customHeight="1" x14ac:dyDescent="0.25">
      <c r="A12" s="68"/>
      <c r="B12" s="5"/>
      <c r="C12" s="5"/>
      <c r="D12" s="5"/>
      <c r="E12" s="60"/>
      <c r="F12" s="61"/>
      <c r="G12" s="42"/>
      <c r="H12" s="42"/>
      <c r="I12" s="43"/>
      <c r="J12" s="31"/>
      <c r="K12" s="32"/>
      <c r="L12" s="33"/>
      <c r="M12" s="34"/>
      <c r="N12" s="44"/>
      <c r="O12" s="35"/>
      <c r="P12" s="45"/>
      <c r="Q12" s="45"/>
      <c r="R12" s="63"/>
      <c r="S12" s="50"/>
      <c r="T12" s="39"/>
      <c r="U12" s="45"/>
      <c r="V12" s="45"/>
      <c r="W12" s="48"/>
      <c r="X12" s="29"/>
      <c r="Y12" s="22"/>
      <c r="Z12" s="49"/>
    </row>
    <row r="13" spans="1:27" ht="39" customHeight="1" x14ac:dyDescent="0.25">
      <c r="A13" s="68"/>
      <c r="B13" s="5"/>
      <c r="C13" s="5"/>
      <c r="D13" s="5"/>
      <c r="E13" s="58"/>
      <c r="F13" s="59"/>
      <c r="G13" s="42"/>
      <c r="H13" s="42"/>
      <c r="I13" s="43"/>
      <c r="J13" s="31"/>
      <c r="K13" s="32"/>
      <c r="L13" s="33"/>
      <c r="M13" s="34"/>
      <c r="N13" s="44"/>
      <c r="O13" s="35"/>
      <c r="P13" s="45"/>
      <c r="Q13" s="45"/>
      <c r="R13" s="63"/>
      <c r="S13" s="50"/>
      <c r="T13" s="39"/>
      <c r="U13" s="45"/>
      <c r="V13" s="45"/>
      <c r="W13" s="48"/>
      <c r="X13" s="29"/>
      <c r="Y13" s="22"/>
      <c r="Z13" s="49"/>
    </row>
    <row r="14" spans="1:27" ht="39" customHeight="1" x14ac:dyDescent="0.25">
      <c r="A14" s="68"/>
      <c r="B14" s="5"/>
      <c r="C14" s="5"/>
      <c r="D14" s="5"/>
      <c r="E14" s="58"/>
      <c r="F14" s="59"/>
      <c r="G14" s="42"/>
      <c r="H14" s="42"/>
      <c r="I14" s="43"/>
      <c r="J14" s="31"/>
      <c r="K14" s="32"/>
      <c r="L14" s="33"/>
      <c r="M14" s="34"/>
      <c r="N14" s="44"/>
      <c r="O14" s="35"/>
      <c r="P14" s="45"/>
      <c r="Q14" s="45"/>
      <c r="R14" s="63"/>
      <c r="S14" s="50"/>
      <c r="T14" s="39"/>
      <c r="U14" s="45"/>
      <c r="V14" s="45"/>
      <c r="W14" s="48"/>
      <c r="X14" s="29"/>
      <c r="Y14" s="22"/>
      <c r="Z14" s="49"/>
    </row>
    <row r="15" spans="1:27" ht="39" customHeight="1" x14ac:dyDescent="0.25">
      <c r="A15" s="68"/>
      <c r="B15" s="5"/>
      <c r="C15" s="5"/>
      <c r="D15" s="5"/>
      <c r="E15" s="58"/>
      <c r="F15" s="59"/>
      <c r="G15" s="42"/>
      <c r="H15" s="42"/>
      <c r="I15" s="43"/>
      <c r="J15" s="31"/>
      <c r="K15" s="32"/>
      <c r="L15" s="33"/>
      <c r="M15" s="34"/>
      <c r="N15" s="44"/>
      <c r="O15" s="35"/>
      <c r="P15" s="45"/>
      <c r="Q15" s="45"/>
      <c r="R15" s="37"/>
      <c r="S15" s="50"/>
      <c r="T15" s="39"/>
      <c r="U15" s="45"/>
      <c r="V15" s="45"/>
      <c r="W15" s="48"/>
      <c r="X15" s="29"/>
      <c r="Y15" s="22"/>
      <c r="Z15" s="49"/>
    </row>
    <row r="16" spans="1:27" ht="39" customHeight="1" x14ac:dyDescent="0.25">
      <c r="A16" s="68"/>
      <c r="B16" s="5"/>
      <c r="C16" s="5"/>
      <c r="D16" s="5"/>
      <c r="E16" s="58"/>
      <c r="F16" s="59"/>
      <c r="G16" s="42"/>
      <c r="H16" s="42"/>
      <c r="I16" s="43"/>
      <c r="J16" s="31"/>
      <c r="K16" s="32"/>
      <c r="L16" s="33"/>
      <c r="M16" s="34"/>
      <c r="N16" s="44"/>
      <c r="O16" s="35"/>
      <c r="P16" s="45"/>
      <c r="Q16" s="45"/>
      <c r="R16" s="37"/>
      <c r="S16" s="50"/>
      <c r="T16" s="39"/>
      <c r="U16" s="45"/>
      <c r="V16" s="45"/>
      <c r="W16" s="48"/>
      <c r="X16" s="29"/>
      <c r="Y16" s="22"/>
      <c r="Z16" s="49"/>
    </row>
    <row r="17" spans="1:40" ht="39" customHeight="1" x14ac:dyDescent="0.25">
      <c r="A17" s="69"/>
      <c r="B17" s="5"/>
      <c r="C17" s="5"/>
      <c r="D17" s="5"/>
      <c r="E17" s="58"/>
      <c r="F17" s="59"/>
      <c r="G17" s="42"/>
      <c r="H17" s="42"/>
      <c r="I17" s="43"/>
      <c r="J17" s="43"/>
      <c r="K17" s="32"/>
      <c r="L17" s="33"/>
      <c r="M17" s="34"/>
      <c r="N17" s="44"/>
      <c r="O17" s="35"/>
      <c r="P17" s="45"/>
      <c r="Q17" s="45"/>
      <c r="R17" s="46"/>
      <c r="S17" s="50"/>
      <c r="T17" s="39"/>
      <c r="U17" s="45"/>
      <c r="V17" s="45"/>
      <c r="W17" s="48"/>
      <c r="X17" s="29"/>
      <c r="Y17" s="22"/>
      <c r="Z17" s="52"/>
    </row>
    <row r="18" spans="1:40" s="26" customFormat="1" ht="32.1" customHeight="1" x14ac:dyDescent="0.3">
      <c r="A18" s="95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7"/>
      <c r="AA18" s="104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27"/>
    </row>
    <row r="19" spans="1:40" ht="39" customHeight="1" x14ac:dyDescent="0.25">
      <c r="A19" s="67" t="s">
        <v>52</v>
      </c>
      <c r="B19" s="21"/>
      <c r="C19" s="21"/>
      <c r="D19" s="21"/>
      <c r="E19" s="58"/>
      <c r="F19" s="59"/>
      <c r="G19" s="30"/>
      <c r="H19" s="30"/>
      <c r="I19" s="31"/>
      <c r="J19" s="31"/>
      <c r="K19" s="32"/>
      <c r="L19" s="33"/>
      <c r="M19" s="34"/>
      <c r="N19" s="32"/>
      <c r="O19" s="35"/>
      <c r="P19" s="36"/>
      <c r="Q19" s="36"/>
      <c r="R19" s="63"/>
      <c r="S19" s="38"/>
      <c r="T19" s="39"/>
      <c r="U19" s="36"/>
      <c r="V19" s="36"/>
      <c r="W19" s="40"/>
      <c r="X19" s="22"/>
      <c r="Y19" s="22"/>
      <c r="Z19" s="41"/>
    </row>
    <row r="20" spans="1:40" ht="39" customHeight="1" x14ac:dyDescent="0.25">
      <c r="A20" s="68"/>
      <c r="B20" s="5"/>
      <c r="C20" s="21"/>
      <c r="D20" s="5"/>
      <c r="E20" s="60"/>
      <c r="F20" s="61"/>
      <c r="G20" s="51"/>
      <c r="H20" s="30"/>
      <c r="I20" s="31"/>
      <c r="J20" s="31"/>
      <c r="K20" s="32"/>
      <c r="L20" s="33"/>
      <c r="M20" s="34"/>
      <c r="N20" s="44"/>
      <c r="O20" s="35"/>
      <c r="P20" s="45"/>
      <c r="Q20" s="45"/>
      <c r="R20" s="63"/>
      <c r="S20" s="50"/>
      <c r="T20" s="39"/>
      <c r="U20" s="45"/>
      <c r="V20" s="45"/>
      <c r="W20" s="48"/>
      <c r="X20" s="22"/>
      <c r="Y20" s="22"/>
      <c r="Z20" s="49"/>
    </row>
    <row r="21" spans="1:40" ht="39" customHeight="1" x14ac:dyDescent="0.25">
      <c r="A21" s="68"/>
      <c r="B21" s="5"/>
      <c r="C21" s="5"/>
      <c r="D21" s="5"/>
      <c r="E21" s="60"/>
      <c r="F21" s="62"/>
      <c r="G21" s="51"/>
      <c r="H21" s="30"/>
      <c r="I21" s="31"/>
      <c r="J21" s="31"/>
      <c r="K21" s="32"/>
      <c r="L21" s="33"/>
      <c r="M21" s="34"/>
      <c r="N21" s="44"/>
      <c r="O21" s="35"/>
      <c r="P21" s="45"/>
      <c r="Q21" s="45"/>
      <c r="R21" s="63"/>
      <c r="S21" s="50"/>
      <c r="T21" s="39"/>
      <c r="U21" s="45"/>
      <c r="V21" s="45"/>
      <c r="W21" s="48"/>
      <c r="X21" s="22"/>
      <c r="Y21" s="22"/>
      <c r="Z21" s="49"/>
    </row>
    <row r="22" spans="1:40" ht="39" customHeight="1" x14ac:dyDescent="0.25">
      <c r="A22" s="68"/>
      <c r="B22" s="5"/>
      <c r="C22" s="5"/>
      <c r="D22" s="5"/>
      <c r="E22" s="60"/>
      <c r="F22" s="62"/>
      <c r="G22" s="51"/>
      <c r="H22" s="30"/>
      <c r="I22" s="31"/>
      <c r="J22" s="31"/>
      <c r="K22" s="32"/>
      <c r="L22" s="33"/>
      <c r="M22" s="34"/>
      <c r="N22" s="44"/>
      <c r="O22" s="35"/>
      <c r="P22" s="45"/>
      <c r="Q22" s="45"/>
      <c r="R22" s="63"/>
      <c r="S22" s="50"/>
      <c r="T22" s="39"/>
      <c r="U22" s="45"/>
      <c r="V22" s="45"/>
      <c r="W22" s="48"/>
      <c r="X22" s="22"/>
      <c r="Y22" s="22"/>
      <c r="Z22" s="49"/>
    </row>
    <row r="23" spans="1:40" ht="39" customHeight="1" x14ac:dyDescent="0.25">
      <c r="A23" s="68"/>
      <c r="B23" s="5"/>
      <c r="C23" s="5"/>
      <c r="D23" s="5"/>
      <c r="E23" s="60"/>
      <c r="F23" s="62"/>
      <c r="G23" s="51"/>
      <c r="H23" s="30"/>
      <c r="I23" s="31"/>
      <c r="J23" s="31"/>
      <c r="K23" s="32"/>
      <c r="L23" s="33"/>
      <c r="M23" s="34"/>
      <c r="N23" s="44"/>
      <c r="O23" s="35"/>
      <c r="P23" s="45"/>
      <c r="Q23" s="45"/>
      <c r="R23" s="63"/>
      <c r="S23" s="50"/>
      <c r="T23" s="39"/>
      <c r="U23" s="45"/>
      <c r="V23" s="45"/>
      <c r="W23" s="48"/>
      <c r="X23" s="22"/>
      <c r="Y23" s="22"/>
      <c r="Z23" s="49"/>
    </row>
    <row r="24" spans="1:40" ht="39" customHeight="1" x14ac:dyDescent="0.25">
      <c r="A24" s="68"/>
      <c r="B24" s="5"/>
      <c r="C24" s="5"/>
      <c r="D24" s="5"/>
      <c r="E24" s="60"/>
      <c r="F24" s="62"/>
      <c r="G24" s="51"/>
      <c r="H24" s="30"/>
      <c r="I24" s="31"/>
      <c r="J24" s="31"/>
      <c r="K24" s="32"/>
      <c r="L24" s="33"/>
      <c r="M24" s="34"/>
      <c r="N24" s="44"/>
      <c r="O24" s="35"/>
      <c r="P24" s="45"/>
      <c r="Q24" s="45"/>
      <c r="R24" s="63"/>
      <c r="S24" s="50"/>
      <c r="T24" s="39"/>
      <c r="U24" s="45"/>
      <c r="V24" s="45"/>
      <c r="W24" s="48"/>
      <c r="X24" s="22"/>
      <c r="Y24" s="22"/>
      <c r="Z24" s="24"/>
    </row>
    <row r="25" spans="1:40" ht="39" customHeight="1" x14ac:dyDescent="0.25">
      <c r="A25" s="68"/>
      <c r="B25" s="5"/>
      <c r="C25" s="5"/>
      <c r="D25" s="5"/>
      <c r="E25" s="60"/>
      <c r="F25" s="62"/>
      <c r="G25" s="51"/>
      <c r="H25" s="30"/>
      <c r="I25" s="31"/>
      <c r="J25" s="31"/>
      <c r="K25" s="32"/>
      <c r="L25" s="33"/>
      <c r="M25" s="34"/>
      <c r="N25" s="44"/>
      <c r="O25" s="35"/>
      <c r="P25" s="45"/>
      <c r="Q25" s="45"/>
      <c r="R25" s="63"/>
      <c r="S25" s="50"/>
      <c r="T25" s="39"/>
      <c r="U25" s="45"/>
      <c r="V25" s="45"/>
      <c r="W25" s="48"/>
      <c r="X25" s="22"/>
      <c r="Y25" s="22"/>
      <c r="Z25" s="24"/>
    </row>
    <row r="26" spans="1:40" ht="39" customHeight="1" x14ac:dyDescent="0.25">
      <c r="A26" s="68"/>
      <c r="B26" s="5"/>
      <c r="C26" s="5"/>
      <c r="D26" s="5"/>
      <c r="E26" s="60"/>
      <c r="F26" s="62"/>
      <c r="G26" s="51"/>
      <c r="H26" s="30"/>
      <c r="I26" s="31"/>
      <c r="J26" s="31"/>
      <c r="K26" s="32"/>
      <c r="L26" s="33"/>
      <c r="M26" s="34"/>
      <c r="N26" s="44"/>
      <c r="O26" s="35"/>
      <c r="P26" s="45"/>
      <c r="Q26" s="45"/>
      <c r="R26" s="63"/>
      <c r="S26" s="50"/>
      <c r="T26" s="39"/>
      <c r="U26" s="45"/>
      <c r="V26" s="45"/>
      <c r="W26" s="48"/>
      <c r="X26" s="22"/>
      <c r="Y26" s="22"/>
      <c r="Z26" s="24"/>
    </row>
    <row r="27" spans="1:40" ht="39" customHeight="1" x14ac:dyDescent="0.25">
      <c r="A27" s="68"/>
      <c r="B27" s="5"/>
      <c r="C27" s="5"/>
      <c r="D27" s="5"/>
      <c r="E27" s="60"/>
      <c r="F27" s="62"/>
      <c r="G27" s="51"/>
      <c r="H27" s="30"/>
      <c r="I27" s="31"/>
      <c r="J27" s="31"/>
      <c r="K27" s="32"/>
      <c r="L27" s="33"/>
      <c r="M27" s="34"/>
      <c r="N27" s="44"/>
      <c r="O27" s="35"/>
      <c r="P27" s="45"/>
      <c r="Q27" s="45"/>
      <c r="R27" s="37"/>
      <c r="S27" s="50"/>
      <c r="T27" s="39"/>
      <c r="U27" s="45"/>
      <c r="V27" s="45"/>
      <c r="W27" s="48"/>
      <c r="X27" s="22"/>
      <c r="Y27" s="22"/>
      <c r="Z27" s="24"/>
    </row>
    <row r="28" spans="1:40" ht="39" customHeight="1" x14ac:dyDescent="0.25">
      <c r="A28" s="68"/>
      <c r="B28" s="5"/>
      <c r="C28" s="5"/>
      <c r="D28" s="5"/>
      <c r="E28" s="60"/>
      <c r="F28" s="61"/>
      <c r="G28" s="51"/>
      <c r="H28" s="30"/>
      <c r="I28" s="43"/>
      <c r="J28" s="43"/>
      <c r="K28" s="32"/>
      <c r="L28" s="33"/>
      <c r="M28" s="34"/>
      <c r="N28" s="44"/>
      <c r="O28" s="35"/>
      <c r="P28" s="45"/>
      <c r="Q28" s="45"/>
      <c r="R28" s="37"/>
      <c r="S28" s="50"/>
      <c r="T28" s="39"/>
      <c r="U28" s="45"/>
      <c r="V28" s="45"/>
      <c r="W28" s="48"/>
      <c r="X28" s="22"/>
      <c r="Y28" s="22"/>
      <c r="Z28" s="24"/>
    </row>
    <row r="29" spans="1:40" ht="39" customHeight="1" x14ac:dyDescent="0.25">
      <c r="A29" s="69"/>
      <c r="B29" s="5" t="str">
        <f t="array" aca="1" ref="B29" ca="1">IF(ISBLANK(F29),"",MID(CELL("filename",B29),FIND("]",CELL("filename",B29))+1,255))</f>
        <v/>
      </c>
      <c r="C29" s="6" t="str">
        <f t="shared" ref="C29" si="0">IF(ISBLANK(F29),"",IF(OR(AND(G29&gt;TIME(19,30,0),G29&lt;TIME(23,59,0)),AND(G29&gt;TIME(0,0,0),G29&lt;TIME(7,30,0))),"NIGHT","DAY"))</f>
        <v/>
      </c>
      <c r="D29" s="6" t="str">
        <f t="shared" ref="D29" si="1">IF(ISBLANK(F29),"",D28+1)</f>
        <v/>
      </c>
      <c r="E29" s="7" t="str">
        <f t="shared" ref="E29" si="2">IF(ISBLANK(F29),"",F28)</f>
        <v/>
      </c>
      <c r="F29" s="8"/>
      <c r="G29" s="9"/>
      <c r="H29" s="9"/>
      <c r="I29" s="10"/>
      <c r="J29" s="10"/>
      <c r="K29" s="11" t="str">
        <f t="shared" ref="K29" si="3">IF(ISBLANK(F29),"",(F29-E29)*100)</f>
        <v/>
      </c>
      <c r="L29" s="12" t="str">
        <f t="shared" ref="L29" si="4">IF(ISBLANK(F29),"",HOUR(H29-G29)*60+MINUTE(H29-G29))</f>
        <v/>
      </c>
      <c r="M29" s="13" t="str">
        <f t="shared" ref="M29" si="5">IF(ISBLANK(F29),"",K29/L29)</f>
        <v/>
      </c>
      <c r="N29" s="11" t="str">
        <f t="shared" ref="N29" si="6">IF(ISBLANK(F29),"","DB")</f>
        <v/>
      </c>
      <c r="O29" s="14"/>
      <c r="P29" s="15" t="str">
        <f t="shared" ref="P29" si="7">IF(O29="HQ",96,IF(O29="NQ",76.5,""))</f>
        <v/>
      </c>
      <c r="Q29" s="15" t="str">
        <f t="shared" ref="Q29" si="8">IF(O29="HQ",63.5,IF(O29="NQ",47.5,""))</f>
        <v/>
      </c>
      <c r="R29" s="16" t="str">
        <f>IF(ISBLANK(F29),"",IF(O29="NQ",CONCATENATE("HQ","(",#REF!,")"),"-"))</f>
        <v/>
      </c>
      <c r="S29" s="19"/>
      <c r="T29" s="17" t="str">
        <f t="shared" ref="T29" si="9">IF(ISBLANK(F29),"",0.7)</f>
        <v/>
      </c>
      <c r="U29" s="15" t="str">
        <f t="shared" ref="U29" si="10">IF(ISBLANK(F29),"","GRAY")</f>
        <v/>
      </c>
      <c r="V29" s="15" t="str">
        <f t="shared" ref="V29" si="11">IF(ISBLANK(F29),"","S.MIX")</f>
        <v/>
      </c>
      <c r="W29" s="20"/>
      <c r="X29" s="18"/>
      <c r="Y29" s="18"/>
      <c r="Z29" s="24"/>
    </row>
    <row r="30" spans="1:40" ht="39" customHeight="1" x14ac:dyDescent="0.25">
      <c r="A30" s="70" t="s">
        <v>53</v>
      </c>
      <c r="B30" s="71"/>
      <c r="C30" s="72"/>
      <c r="D30" s="76"/>
      <c r="E30" s="77"/>
      <c r="F30" s="77"/>
      <c r="G30" s="77"/>
      <c r="H30" s="77"/>
      <c r="I30" s="77"/>
      <c r="J30" s="77"/>
      <c r="K30" s="77"/>
      <c r="L30" s="77"/>
      <c r="M30" s="77"/>
      <c r="N30" s="78"/>
      <c r="O30" s="70" t="s">
        <v>54</v>
      </c>
      <c r="P30" s="71"/>
      <c r="Q30" s="72"/>
      <c r="R30" s="82"/>
      <c r="S30" s="83"/>
      <c r="T30" s="83"/>
      <c r="U30" s="83"/>
      <c r="V30" s="83"/>
      <c r="W30" s="83"/>
      <c r="X30" s="83"/>
      <c r="Y30" s="83"/>
      <c r="Z30" s="84"/>
    </row>
    <row r="31" spans="1:40" ht="39" customHeight="1" x14ac:dyDescent="0.25">
      <c r="A31" s="73"/>
      <c r="B31" s="74"/>
      <c r="C31" s="75"/>
      <c r="D31" s="79"/>
      <c r="E31" s="80"/>
      <c r="F31" s="80"/>
      <c r="G31" s="80"/>
      <c r="H31" s="80"/>
      <c r="I31" s="80"/>
      <c r="J31" s="80"/>
      <c r="K31" s="80"/>
      <c r="L31" s="80"/>
      <c r="M31" s="80"/>
      <c r="N31" s="81"/>
      <c r="O31" s="73"/>
      <c r="P31" s="74"/>
      <c r="Q31" s="75"/>
      <c r="R31" s="85"/>
      <c r="S31" s="86"/>
      <c r="T31" s="86"/>
      <c r="U31" s="86"/>
      <c r="V31" s="86"/>
      <c r="W31" s="86"/>
      <c r="X31" s="86"/>
      <c r="Y31" s="86"/>
      <c r="Z31" s="87"/>
    </row>
    <row r="32" spans="1:40" ht="119.25" customHeight="1" x14ac:dyDescent="0.25">
      <c r="A32" s="88" t="s">
        <v>56</v>
      </c>
      <c r="B32" s="88"/>
      <c r="C32" s="88"/>
      <c r="D32" s="88"/>
      <c r="E32" s="88"/>
      <c r="F32" s="88"/>
      <c r="G32" s="88"/>
      <c r="H32" s="88"/>
      <c r="I32" s="89" t="s">
        <v>55</v>
      </c>
      <c r="J32" s="89"/>
      <c r="K32" s="89"/>
      <c r="L32" s="89"/>
      <c r="M32" s="89"/>
      <c r="N32" s="89"/>
      <c r="O32" s="89"/>
      <c r="P32" s="89"/>
      <c r="Q32" s="89"/>
      <c r="R32" s="89"/>
      <c r="S32" s="89" t="s">
        <v>57</v>
      </c>
      <c r="T32" s="89"/>
      <c r="U32" s="89"/>
      <c r="V32" s="89"/>
      <c r="W32" s="89"/>
      <c r="X32" s="89"/>
      <c r="Y32" s="89"/>
      <c r="Z32" s="89"/>
    </row>
    <row r="33" spans="8:26" ht="18" customHeight="1" x14ac:dyDescent="0.25">
      <c r="S33" s="66"/>
      <c r="T33" s="66"/>
      <c r="U33" s="66"/>
      <c r="V33" s="66"/>
      <c r="W33" s="66"/>
      <c r="X33" s="66"/>
      <c r="Y33" s="66"/>
      <c r="Z33" s="66"/>
    </row>
    <row r="34" spans="8:26" ht="18" customHeight="1" x14ac:dyDescent="0.25">
      <c r="H34" s="65" t="s">
        <v>51</v>
      </c>
      <c r="I34" s="65">
        <v>74.599999999999994</v>
      </c>
      <c r="J34" s="65"/>
      <c r="K34" s="65">
        <v>47.5</v>
      </c>
      <c r="L34" s="65"/>
      <c r="S34" s="66"/>
      <c r="T34" s="66"/>
      <c r="U34" s="66"/>
      <c r="V34" s="66"/>
      <c r="W34" s="66"/>
      <c r="X34" s="66"/>
      <c r="Y34" s="66"/>
      <c r="Z34" s="66"/>
    </row>
    <row r="35" spans="8:26" ht="18" customHeight="1" x14ac:dyDescent="0.25">
      <c r="H35" s="65"/>
      <c r="I35" s="65"/>
      <c r="J35" s="65"/>
      <c r="K35" s="65"/>
      <c r="L35" s="65"/>
      <c r="S35" s="66"/>
      <c r="T35" s="66"/>
      <c r="U35" s="66"/>
      <c r="V35" s="66"/>
      <c r="W35" s="66"/>
      <c r="X35" s="66"/>
      <c r="Y35" s="66"/>
      <c r="Z35" s="66"/>
    </row>
    <row r="36" spans="8:26" x14ac:dyDescent="0.25">
      <c r="H36" s="65" t="s">
        <v>59</v>
      </c>
      <c r="I36" s="65">
        <v>96.3</v>
      </c>
      <c r="J36" s="65"/>
      <c r="K36" s="65" t="s">
        <v>60</v>
      </c>
      <c r="L36" s="65"/>
    </row>
    <row r="37" spans="8:26" x14ac:dyDescent="0.25">
      <c r="H37" s="65"/>
      <c r="I37" s="65"/>
      <c r="J37" s="65"/>
      <c r="K37" s="65"/>
      <c r="L37" s="65"/>
    </row>
    <row r="38" spans="8:26" x14ac:dyDescent="0.25">
      <c r="H38" s="65"/>
      <c r="I38" s="65"/>
      <c r="J38" s="65"/>
      <c r="K38" s="65"/>
      <c r="L38" s="65"/>
      <c r="N38" s="3"/>
      <c r="O38" s="3"/>
      <c r="P38" s="3"/>
      <c r="Q38" s="3"/>
      <c r="R38" s="3"/>
      <c r="S38" s="3"/>
    </row>
    <row r="40" spans="8:26" x14ac:dyDescent="0.25">
      <c r="R40" s="4"/>
      <c r="S40" s="4"/>
      <c r="T40" s="4"/>
      <c r="U40" s="4"/>
    </row>
    <row r="41" spans="8:26" x14ac:dyDescent="0.25">
      <c r="L41" s="1"/>
      <c r="R41" s="4"/>
      <c r="S41" s="4"/>
      <c r="T41" s="4"/>
      <c r="U41" s="4"/>
    </row>
  </sheetData>
  <mergeCells count="61">
    <mergeCell ref="O4:P4"/>
    <mergeCell ref="Q4:R4"/>
    <mergeCell ref="S4:T4"/>
    <mergeCell ref="V4:W4"/>
    <mergeCell ref="A1:G3"/>
    <mergeCell ref="H1:N3"/>
    <mergeCell ref="Q1:S1"/>
    <mergeCell ref="U1:W1"/>
    <mergeCell ref="Y1:Z1"/>
    <mergeCell ref="Q2:S2"/>
    <mergeCell ref="U2:W2"/>
    <mergeCell ref="C5:C6"/>
    <mergeCell ref="D5:D6"/>
    <mergeCell ref="E5:F5"/>
    <mergeCell ref="G5:H5"/>
    <mergeCell ref="U3:W3"/>
    <mergeCell ref="Y2:Z2"/>
    <mergeCell ref="O3:P3"/>
    <mergeCell ref="Q3:S3"/>
    <mergeCell ref="Y3:Z3"/>
    <mergeCell ref="A4:C4"/>
    <mergeCell ref="D4:H4"/>
    <mergeCell ref="I4:K4"/>
    <mergeCell ref="L4:N4"/>
    <mergeCell ref="AA18:AM18"/>
    <mergeCell ref="R5:R6"/>
    <mergeCell ref="S5:S6"/>
    <mergeCell ref="T5:T6"/>
    <mergeCell ref="U5:U6"/>
    <mergeCell ref="V5:V6"/>
    <mergeCell ref="W5:W6"/>
    <mergeCell ref="A32:H32"/>
    <mergeCell ref="I32:R32"/>
    <mergeCell ref="S32:Z32"/>
    <mergeCell ref="X5:X6"/>
    <mergeCell ref="Y5:Y6"/>
    <mergeCell ref="Z5:Z6"/>
    <mergeCell ref="A7:A17"/>
    <mergeCell ref="A18:Z18"/>
    <mergeCell ref="I5:I6"/>
    <mergeCell ref="J5:J6"/>
    <mergeCell ref="K5:M5"/>
    <mergeCell ref="N5:O5"/>
    <mergeCell ref="P5:P6"/>
    <mergeCell ref="Q5:Q6"/>
    <mergeCell ref="A5:A6"/>
    <mergeCell ref="B5:B6"/>
    <mergeCell ref="A19:A29"/>
    <mergeCell ref="A30:C31"/>
    <mergeCell ref="D30:N31"/>
    <mergeCell ref="O30:Q31"/>
    <mergeCell ref="R30:Z31"/>
    <mergeCell ref="H36:H38"/>
    <mergeCell ref="I36:J38"/>
    <mergeCell ref="K36:L38"/>
    <mergeCell ref="S33:Z33"/>
    <mergeCell ref="H34:H35"/>
    <mergeCell ref="I34:J35"/>
    <mergeCell ref="K34:L35"/>
    <mergeCell ref="S34:Z34"/>
    <mergeCell ref="S35:Z35"/>
  </mergeCells>
  <phoneticPr fontId="16" type="noConversion"/>
  <printOptions horizontalCentered="1"/>
  <pageMargins left="0" right="0.19685039370078741" top="0.35433070866141736" bottom="0.23622047244094491" header="0.15748031496062992" footer="0.23622047244094491"/>
  <pageSetup paperSize="9" scale="38" orientation="landscape" horizontalDpi="300" verticalDpi="300" r:id="rId1"/>
  <headerFooter alignWithMargins="0">
    <oddFooter>&amp;C&amp;48 &amp;R
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1405.07.01</vt:lpstr>
      <vt:lpstr>'1405.07.01'!Print_Area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dorkavosh</dc:creator>
  <cp:lastModifiedBy>amir saeedian</cp:lastModifiedBy>
  <dcterms:created xsi:type="dcterms:W3CDTF">2025-10-29T12:10:46Z</dcterms:created>
  <dcterms:modified xsi:type="dcterms:W3CDTF">2026-10-27T15:17:12Z</dcterms:modified>
</cp:coreProperties>
</file>